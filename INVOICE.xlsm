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20" yWindow="-120" windowWidth="20730" windowHeight="11040"/>
  </bookViews>
  <sheets>
    <sheet name="GST TAX INVOICE" sheetId="1" r:id="rId1"/>
    <sheet name="NON GST TAX INVOICE " sheetId="4" r:id="rId2"/>
  </sheets>
  <functionGroups builtInGroupCount="17"/>
  <definedNames>
    <definedName name="_xlnm.Print_Area" localSheetId="0">'GST TAX INVOICE'!$A$1:$G$50</definedName>
    <definedName name="_xlnm.Print_Area" localSheetId="1">'NON GST TAX INVOICE '!$A$1:$G$49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1" l="1"/>
  <c r="G13" i="1"/>
  <c r="G14" i="1"/>
  <c r="G15" i="1"/>
  <c r="G30" i="4" l="1"/>
  <c r="A30" i="4"/>
  <c r="G29" i="4"/>
  <c r="A29" i="4"/>
  <c r="G28" i="4"/>
  <c r="A28" i="4"/>
  <c r="G27" i="4"/>
  <c r="A27" i="4"/>
  <c r="G26" i="4"/>
  <c r="A26" i="4"/>
  <c r="G25" i="4"/>
  <c r="A25" i="4"/>
  <c r="G24" i="4"/>
  <c r="A24" i="4"/>
  <c r="G23" i="4"/>
  <c r="A23" i="4"/>
  <c r="G22" i="4"/>
  <c r="A22" i="4"/>
  <c r="G21" i="4"/>
  <c r="A21" i="4"/>
  <c r="G20" i="4"/>
  <c r="A20" i="4"/>
  <c r="G19" i="4"/>
  <c r="A19" i="4"/>
  <c r="G18" i="4"/>
  <c r="A18" i="4"/>
  <c r="G17" i="4"/>
  <c r="A17" i="4"/>
  <c r="G16" i="4"/>
  <c r="A16" i="4"/>
  <c r="G15" i="4"/>
  <c r="G14" i="4"/>
  <c r="G13" i="4"/>
  <c r="G12" i="4"/>
  <c r="G7" i="4"/>
  <c r="G31" i="4" l="1"/>
  <c r="A39" i="4"/>
  <c r="A30" i="1" l="1"/>
  <c r="A29" i="1"/>
  <c r="A28" i="1"/>
  <c r="A27" i="1"/>
  <c r="A26" i="1"/>
  <c r="G7" i="1"/>
  <c r="G30" i="1" l="1"/>
  <c r="F35" i="1"/>
  <c r="G31" i="1" l="1"/>
  <c r="G32" i="1" s="1"/>
  <c r="G33" i="1" l="1"/>
  <c r="G36" i="1" s="1"/>
  <c r="G35" i="1" l="1"/>
  <c r="G38" i="1" l="1"/>
  <c r="A40" i="1"/>
</calcChain>
</file>

<file path=xl/sharedStrings.xml><?xml version="1.0" encoding="utf-8"?>
<sst xmlns="http://schemas.openxmlformats.org/spreadsheetml/2006/main" count="59" uniqueCount="42">
  <si>
    <t>TAX INVOICE</t>
  </si>
  <si>
    <t>Bill to</t>
  </si>
  <si>
    <t>Dated</t>
  </si>
  <si>
    <t>Description of Service</t>
  </si>
  <si>
    <t>QTY</t>
  </si>
  <si>
    <t>RATE</t>
  </si>
  <si>
    <t>Amount</t>
  </si>
  <si>
    <t>Amount Chargeable (in words)</t>
  </si>
  <si>
    <t>INVOICE No</t>
  </si>
  <si>
    <t>D-122, Lajpat Nagar,
New Delhi-110015</t>
  </si>
  <si>
    <t>Authorized Signatory</t>
  </si>
  <si>
    <t>GOVIND KASHYAP</t>
  </si>
  <si>
    <t>ADD CGST 9%</t>
  </si>
  <si>
    <t>ADD SGST 9%</t>
  </si>
  <si>
    <t>Taxable Amount</t>
  </si>
  <si>
    <t>Gross Amount</t>
  </si>
  <si>
    <t>Net Payable Amount</t>
  </si>
  <si>
    <t>S. No.</t>
  </si>
  <si>
    <t>Delivery to</t>
  </si>
  <si>
    <t>Less Discount 0%</t>
  </si>
  <si>
    <t>GST Tin No -20CYDPK1323B1ZF</t>
  </si>
  <si>
    <t>BANK DETAIL</t>
  </si>
  <si>
    <t xml:space="preserve">BANK BANK A/C. NO.- 4908261000015             </t>
  </si>
  <si>
    <t xml:space="preserve">BRANCH : HIRAPUR, DHANBAD                                   </t>
  </si>
  <si>
    <t>IFSC CODE : CNRB0004908</t>
  </si>
  <si>
    <r>
      <t xml:space="preserve">Note-Please make cheques in favor of </t>
    </r>
    <r>
      <rPr>
        <b/>
        <sz val="9"/>
        <rFont val="Arial"/>
        <family val="2"/>
      </rPr>
      <t xml:space="preserve">"BADA XEROX" </t>
    </r>
  </si>
  <si>
    <t xml:space="preserve">A0 COLO </t>
  </si>
  <si>
    <t>A1 B/W</t>
  </si>
  <si>
    <t>A4 COLO</t>
  </si>
  <si>
    <t>A4B/W</t>
  </si>
  <si>
    <t>ADD IGST 18%</t>
  </si>
  <si>
    <t xml:space="preserve">BANK BANK A/C. NO.- 4908101001787      </t>
  </si>
  <si>
    <t xml:space="preserve">BANK NAME : CANARA                      </t>
  </si>
  <si>
    <t>ACCOUN HOLDER NAME : ANIL KUMAR</t>
  </si>
  <si>
    <t>ACCOUN HOLDER NAME : BADA XEROX</t>
  </si>
  <si>
    <t>A1 B/W PRINT</t>
  </si>
  <si>
    <t>A3 B/W PRINT</t>
  </si>
  <si>
    <t>A4 B/W PRINT</t>
  </si>
  <si>
    <t>A3 SPIRAL BINDING</t>
  </si>
  <si>
    <t>Billing to</t>
  </si>
  <si>
    <t>ABC NAME HERE TYPE</t>
  </si>
  <si>
    <t>ABC ADDRESS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</si>
</sst>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&quot;0.00"/>
  </numFmts>
  <fonts count="28">
    <font>
      <sz val="10"/>
      <name val="Arial"/>
    </font>
    <font>
      <sz val="10"/>
      <name val="Arial"/>
      <family val="2"/>
    </font>
    <font>
      <sz val="14"/>
      <name val="Arial"/>
      <family val="2"/>
    </font>
    <font>
      <b/>
      <sz val="24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rgb="FF222222"/>
      <name val="Arial"/>
      <family val="2"/>
    </font>
    <font>
      <sz val="11"/>
      <color rgb="FF333333"/>
      <name val="Open Sans"/>
    </font>
    <font>
      <b/>
      <sz val="10"/>
      <color rgb="FF222222"/>
      <name val="Arial"/>
      <family val="2"/>
    </font>
    <font>
      <i/>
      <sz val="9"/>
      <name val="Arial"/>
      <family val="2"/>
    </font>
    <font>
      <b/>
      <sz val="11"/>
      <name val="Arial"/>
      <family val="2"/>
    </font>
    <font>
      <b/>
      <sz val="48"/>
      <name val="Arial"/>
      <family val="2"/>
    </font>
    <font>
      <b/>
      <sz val="11"/>
      <color rgb="FF333333"/>
      <name val="Open Sans"/>
    </font>
    <font>
      <b/>
      <u/>
      <sz val="9"/>
      <name val="Arial"/>
      <family val="2"/>
    </font>
    <font>
      <b/>
      <sz val="11"/>
      <color theme="0"/>
      <name val="Arial"/>
      <family val="2"/>
    </font>
    <font>
      <b/>
      <sz val="14"/>
      <color theme="0"/>
      <name val="Arial"/>
      <family val="2"/>
    </font>
    <font>
      <b/>
      <sz val="11"/>
      <color rgb="FF222222"/>
      <name val="Arial"/>
      <family val="2"/>
    </font>
    <font>
      <sz val="11"/>
      <color rgb="FF222222"/>
      <name val="Arial"/>
      <family val="2"/>
    </font>
    <font>
      <b/>
      <sz val="12"/>
      <color rgb="FF222222"/>
      <name val="Arial"/>
      <family val="2"/>
    </font>
    <font>
      <sz val="12"/>
      <color rgb="FF222222"/>
      <name val="Arial"/>
      <family val="2"/>
    </font>
    <font>
      <b/>
      <sz val="12"/>
      <color rgb="FFFF0000"/>
      <name val="Arial"/>
      <family val="2"/>
    </font>
    <font>
      <b/>
      <sz val="10"/>
      <color rgb="FFFF0000"/>
      <name val="Arial"/>
      <family val="2"/>
    </font>
    <font>
      <sz val="12"/>
      <name val="Open Sans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3B68"/>
        <bgColor indexed="64"/>
      </patternFill>
    </fill>
    <fill>
      <patternFill patternType="solid">
        <fgColor rgb="FF1D4971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1">
    <xf numFmtId="0" fontId="0" fillId="0" borderId="0" xfId="0"/>
    <xf numFmtId="0" fontId="0" fillId="0" borderId="0" xfId="0" applyAlignment="1">
      <alignment horizontal="center"/>
    </xf>
    <xf numFmtId="0" fontId="11" fillId="2" borderId="7" xfId="0" applyFont="1" applyFill="1" applyBorder="1" applyAlignment="1">
      <alignment wrapText="1"/>
    </xf>
    <xf numFmtId="0" fontId="13" fillId="2" borderId="7" xfId="0" applyFont="1" applyFill="1" applyBorder="1" applyAlignment="1">
      <alignment wrapText="1"/>
    </xf>
    <xf numFmtId="0" fontId="13" fillId="2" borderId="10" xfId="0" applyFont="1" applyFill="1" applyBorder="1" applyAlignment="1">
      <alignment horizontal="center" wrapText="1"/>
    </xf>
    <xf numFmtId="0" fontId="13" fillId="2" borderId="0" xfId="0" applyFont="1" applyFill="1" applyAlignment="1">
      <alignment wrapText="1"/>
    </xf>
    <xf numFmtId="0" fontId="11" fillId="2" borderId="10" xfId="0" applyFont="1" applyFill="1" applyBorder="1" applyAlignment="1">
      <alignment wrapText="1"/>
    </xf>
    <xf numFmtId="0" fontId="11" fillId="2" borderId="10" xfId="0" applyFont="1" applyFill="1" applyBorder="1" applyAlignment="1">
      <alignment horizontal="center" wrapText="1"/>
    </xf>
    <xf numFmtId="0" fontId="11" fillId="2" borderId="0" xfId="0" applyFont="1" applyFill="1" applyAlignment="1">
      <alignment wrapText="1"/>
    </xf>
    <xf numFmtId="0" fontId="0" fillId="2" borderId="0" xfId="0" applyFill="1"/>
    <xf numFmtId="0" fontId="14" fillId="0" borderId="6" xfId="0" applyFont="1" applyBorder="1" applyAlignment="1">
      <alignment horizontal="center" vertical="top"/>
    </xf>
    <xf numFmtId="0" fontId="6" fillId="0" borderId="0" xfId="0" applyFont="1"/>
    <xf numFmtId="0" fontId="0" fillId="0" borderId="7" xfId="0" applyBorder="1"/>
    <xf numFmtId="0" fontId="0" fillId="0" borderId="8" xfId="0" applyBorder="1" applyAlignment="1">
      <alignment horizontal="center"/>
    </xf>
    <xf numFmtId="164" fontId="10" fillId="0" borderId="19" xfId="0" applyNumberFormat="1" applyFont="1" applyBorder="1" applyAlignment="1">
      <alignment horizontal="center" vertical="top"/>
    </xf>
    <xf numFmtId="0" fontId="0" fillId="0" borderId="1" xfId="0" applyBorder="1"/>
    <xf numFmtId="0" fontId="7" fillId="0" borderId="2" xfId="0" applyFont="1" applyBorder="1" applyAlignment="1">
      <alignment horizontal="left" vertical="top" indent="15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11" fillId="2" borderId="8" xfId="0" applyFont="1" applyFill="1" applyBorder="1" applyAlignment="1">
      <alignment horizontal="right" vertical="center" wrapText="1"/>
    </xf>
    <xf numFmtId="0" fontId="13" fillId="2" borderId="8" xfId="0" applyFont="1" applyFill="1" applyBorder="1" applyAlignment="1">
      <alignment horizontal="right" vertical="center" wrapText="1"/>
    </xf>
    <xf numFmtId="9" fontId="13" fillId="2" borderId="10" xfId="0" applyNumberFormat="1" applyFont="1" applyFill="1" applyBorder="1" applyAlignment="1">
      <alignment horizontal="center" wrapText="1"/>
    </xf>
    <xf numFmtId="0" fontId="8" fillId="0" borderId="7" xfId="0" applyFont="1" applyBorder="1" applyAlignment="1">
      <alignment horizontal="left"/>
    </xf>
    <xf numFmtId="0" fontId="0" fillId="0" borderId="8" xfId="0" applyBorder="1" applyAlignment="1">
      <alignment horizontal="right"/>
    </xf>
    <xf numFmtId="0" fontId="4" fillId="0" borderId="7" xfId="0" applyFont="1" applyBorder="1" applyAlignment="1">
      <alignment horizontal="left" vertical="top"/>
    </xf>
    <xf numFmtId="0" fontId="4" fillId="0" borderId="8" xfId="0" applyFont="1" applyBorder="1" applyAlignment="1">
      <alignment horizontal="left" vertical="top"/>
    </xf>
    <xf numFmtId="0" fontId="8" fillId="0" borderId="30" xfId="0" applyFont="1" applyBorder="1" applyAlignment="1">
      <alignment horizontal="center" vertical="center"/>
    </xf>
    <xf numFmtId="0" fontId="13" fillId="2" borderId="30" xfId="0" applyFont="1" applyFill="1" applyBorder="1" applyAlignment="1">
      <alignment wrapText="1"/>
    </xf>
    <xf numFmtId="0" fontId="13" fillId="2" borderId="30" xfId="0" applyFont="1" applyFill="1" applyBorder="1" applyAlignment="1">
      <alignment horizontal="center" wrapText="1"/>
    </xf>
    <xf numFmtId="0" fontId="8" fillId="2" borderId="30" xfId="0" applyFont="1" applyFill="1" applyBorder="1"/>
    <xf numFmtId="0" fontId="13" fillId="2" borderId="32" xfId="0" applyFont="1" applyFill="1" applyBorder="1" applyAlignment="1">
      <alignment horizontal="center" wrapText="1"/>
    </xf>
    <xf numFmtId="0" fontId="13" fillId="2" borderId="32" xfId="0" applyFont="1" applyFill="1" applyBorder="1" applyAlignment="1">
      <alignment wrapText="1"/>
    </xf>
    <xf numFmtId="0" fontId="8" fillId="2" borderId="32" xfId="0" applyFont="1" applyFill="1" applyBorder="1"/>
    <xf numFmtId="0" fontId="13" fillId="2" borderId="33" xfId="0" applyFont="1" applyFill="1" applyBorder="1" applyAlignment="1">
      <alignment horizontal="center" wrapText="1"/>
    </xf>
    <xf numFmtId="0" fontId="13" fillId="2" borderId="0" xfId="0" applyFont="1" applyFill="1" applyBorder="1" applyAlignment="1">
      <alignment wrapText="1"/>
    </xf>
    <xf numFmtId="0" fontId="11" fillId="2" borderId="0" xfId="0" applyFont="1" applyFill="1" applyBorder="1" applyAlignment="1">
      <alignment wrapText="1"/>
    </xf>
    <xf numFmtId="0" fontId="7" fillId="0" borderId="0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8" fillId="0" borderId="0" xfId="0" applyFont="1" applyBorder="1" applyAlignment="1">
      <alignment horizontal="left"/>
    </xf>
    <xf numFmtId="0" fontId="4" fillId="0" borderId="0" xfId="0" applyFont="1" applyBorder="1" applyAlignment="1">
      <alignment horizontal="right"/>
    </xf>
    <xf numFmtId="0" fontId="4" fillId="0" borderId="0" xfId="0" applyFont="1" applyBorder="1" applyAlignment="1">
      <alignment horizontal="left" vertical="top"/>
    </xf>
    <xf numFmtId="0" fontId="7" fillId="0" borderId="0" xfId="0" applyFont="1" applyBorder="1" applyAlignment="1">
      <alignment horizontal="left" vertical="top" wrapText="1"/>
    </xf>
    <xf numFmtId="0" fontId="17" fillId="0" borderId="31" xfId="0" applyFont="1" applyBorder="1" applyAlignment="1">
      <alignment horizontal="center"/>
    </xf>
    <xf numFmtId="0" fontId="13" fillId="2" borderId="31" xfId="0" applyFont="1" applyFill="1" applyBorder="1" applyAlignment="1">
      <alignment wrapText="1"/>
    </xf>
    <xf numFmtId="0" fontId="8" fillId="2" borderId="31" xfId="0" applyFont="1" applyFill="1" applyBorder="1"/>
    <xf numFmtId="0" fontId="8" fillId="0" borderId="34" xfId="0" applyFont="1" applyBorder="1" applyAlignment="1">
      <alignment horizontal="center" vertical="center"/>
    </xf>
    <xf numFmtId="0" fontId="8" fillId="0" borderId="34" xfId="0" applyFont="1" applyBorder="1" applyAlignment="1">
      <alignment horizontal="left" vertical="top"/>
    </xf>
    <xf numFmtId="0" fontId="8" fillId="0" borderId="35" xfId="0" applyFont="1" applyBorder="1" applyAlignment="1">
      <alignment horizontal="left" vertical="top"/>
    </xf>
    <xf numFmtId="0" fontId="8" fillId="0" borderId="17" xfId="0" applyFont="1" applyBorder="1" applyAlignment="1">
      <alignment horizontal="left" vertical="top"/>
    </xf>
    <xf numFmtId="0" fontId="13" fillId="2" borderId="36" xfId="0" applyFont="1" applyFill="1" applyBorder="1" applyAlignment="1">
      <alignment horizontal="center" wrapText="1"/>
    </xf>
    <xf numFmtId="0" fontId="13" fillId="2" borderId="2" xfId="0" applyFont="1" applyFill="1" applyBorder="1" applyAlignment="1">
      <alignment wrapText="1"/>
    </xf>
    <xf numFmtId="0" fontId="13" fillId="2" borderId="1" xfId="0" applyFont="1" applyFill="1" applyBorder="1" applyAlignment="1">
      <alignment wrapText="1"/>
    </xf>
    <xf numFmtId="0" fontId="13" fillId="2" borderId="19" xfId="0" applyFont="1" applyFill="1" applyBorder="1" applyAlignment="1">
      <alignment wrapText="1"/>
    </xf>
    <xf numFmtId="0" fontId="13" fillId="2" borderId="19" xfId="0" applyFont="1" applyFill="1" applyBorder="1" applyAlignment="1">
      <alignment horizontal="center" wrapText="1"/>
    </xf>
    <xf numFmtId="0" fontId="8" fillId="0" borderId="37" xfId="0" applyFont="1" applyBorder="1" applyAlignment="1">
      <alignment horizontal="center" vertical="center"/>
    </xf>
    <xf numFmtId="0" fontId="13" fillId="2" borderId="37" xfId="0" applyFont="1" applyFill="1" applyBorder="1" applyAlignment="1">
      <alignment wrapText="1"/>
    </xf>
    <xf numFmtId="0" fontId="12" fillId="0" borderId="38" xfId="0" applyFont="1" applyBorder="1"/>
    <xf numFmtId="0" fontId="13" fillId="2" borderId="37" xfId="0" applyFont="1" applyFill="1" applyBorder="1" applyAlignment="1">
      <alignment horizontal="center" vertical="center" wrapText="1"/>
    </xf>
    <xf numFmtId="0" fontId="13" fillId="2" borderId="16" xfId="0" applyFont="1" applyFill="1" applyBorder="1" applyAlignment="1">
      <alignment wrapText="1"/>
    </xf>
    <xf numFmtId="0" fontId="13" fillId="2" borderId="39" xfId="0" applyFont="1" applyFill="1" applyBorder="1" applyAlignment="1">
      <alignment horizontal="center" wrapText="1"/>
    </xf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6" fillId="0" borderId="0" xfId="0" applyFont="1" applyBorder="1"/>
    <xf numFmtId="0" fontId="0" fillId="2" borderId="0" xfId="0" applyFill="1" applyBorder="1"/>
    <xf numFmtId="0" fontId="9" fillId="0" borderId="7" xfId="0" applyFont="1" applyBorder="1" applyAlignment="1">
      <alignment horizontal="right"/>
    </xf>
    <xf numFmtId="0" fontId="24" fillId="2" borderId="8" xfId="0" applyFont="1" applyFill="1" applyBorder="1" applyAlignment="1">
      <alignment horizontal="right" vertical="center" wrapText="1"/>
    </xf>
    <xf numFmtId="0" fontId="9" fillId="0" borderId="24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40" xfId="0" applyFont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9" fillId="2" borderId="31" xfId="0" applyFont="1" applyFill="1" applyBorder="1" applyAlignment="1">
      <alignment vertical="center"/>
    </xf>
    <xf numFmtId="0" fontId="9" fillId="2" borderId="32" xfId="0" applyFont="1" applyFill="1" applyBorder="1" applyAlignment="1">
      <alignment vertical="center"/>
    </xf>
    <xf numFmtId="0" fontId="9" fillId="0" borderId="34" xfId="0" applyFont="1" applyBorder="1" applyAlignment="1">
      <alignment horizontal="left" vertical="center"/>
    </xf>
    <xf numFmtId="0" fontId="9" fillId="0" borderId="35" xfId="0" applyFont="1" applyBorder="1" applyAlignment="1">
      <alignment horizontal="left" vertical="center"/>
    </xf>
    <xf numFmtId="0" fontId="9" fillId="0" borderId="17" xfId="0" applyFont="1" applyBorder="1" applyAlignment="1">
      <alignment horizontal="left" vertical="center"/>
    </xf>
    <xf numFmtId="0" fontId="21" fillId="2" borderId="19" xfId="0" applyFont="1" applyFill="1" applyBorder="1" applyAlignment="1">
      <alignment horizontal="center" vertical="center" wrapText="1"/>
    </xf>
    <xf numFmtId="0" fontId="22" fillId="2" borderId="10" xfId="0" applyFont="1" applyFill="1" applyBorder="1" applyAlignment="1">
      <alignment horizontal="center" vertical="center" wrapText="1"/>
    </xf>
    <xf numFmtId="0" fontId="21" fillId="2" borderId="14" xfId="0" applyFont="1" applyFill="1" applyBorder="1" applyAlignment="1">
      <alignment horizontal="center" vertical="center" wrapText="1"/>
    </xf>
    <xf numFmtId="0" fontId="22" fillId="2" borderId="10" xfId="0" applyFont="1" applyFill="1" applyBorder="1" applyAlignment="1">
      <alignment horizontal="center" wrapText="1"/>
    </xf>
    <xf numFmtId="0" fontId="21" fillId="2" borderId="10" xfId="0" applyFont="1" applyFill="1" applyBorder="1" applyAlignment="1">
      <alignment horizontal="center" wrapText="1"/>
    </xf>
    <xf numFmtId="0" fontId="9" fillId="2" borderId="37" xfId="0" applyFont="1" applyFill="1" applyBorder="1" applyAlignment="1">
      <alignment vertical="center" wrapText="1"/>
    </xf>
    <xf numFmtId="0" fontId="27" fillId="0" borderId="38" xfId="0" applyFont="1" applyBorder="1" applyAlignment="1">
      <alignment vertical="center"/>
    </xf>
    <xf numFmtId="0" fontId="9" fillId="2" borderId="37" xfId="0" applyFont="1" applyFill="1" applyBorder="1" applyAlignment="1">
      <alignment horizontal="center" vertical="center" wrapText="1"/>
    </xf>
    <xf numFmtId="0" fontId="9" fillId="2" borderId="16" xfId="0" applyFont="1" applyFill="1" applyBorder="1" applyAlignment="1">
      <alignment horizontal="center" vertical="center" wrapText="1"/>
    </xf>
    <xf numFmtId="0" fontId="9" fillId="2" borderId="39" xfId="0" applyFont="1" applyFill="1" applyBorder="1" applyAlignment="1">
      <alignment horizontal="center" vertical="center" wrapText="1"/>
    </xf>
    <xf numFmtId="0" fontId="9" fillId="2" borderId="30" xfId="0" applyFont="1" applyFill="1" applyBorder="1" applyAlignment="1">
      <alignment vertical="center" wrapText="1"/>
    </xf>
    <xf numFmtId="0" fontId="27" fillId="0" borderId="31" xfId="0" applyFont="1" applyBorder="1" applyAlignment="1">
      <alignment horizontal="center" vertical="center"/>
    </xf>
    <xf numFmtId="0" fontId="9" fillId="2" borderId="30" xfId="0" applyFont="1" applyFill="1" applyBorder="1" applyAlignment="1">
      <alignment horizontal="center" vertical="center" wrapText="1"/>
    </xf>
    <xf numFmtId="0" fontId="9" fillId="2" borderId="32" xfId="0" applyFont="1" applyFill="1" applyBorder="1" applyAlignment="1">
      <alignment horizontal="center" vertical="center" wrapText="1"/>
    </xf>
    <xf numFmtId="0" fontId="9" fillId="2" borderId="33" xfId="0" applyFont="1" applyFill="1" applyBorder="1" applyAlignment="1">
      <alignment horizontal="center" vertical="center" wrapText="1"/>
    </xf>
    <xf numFmtId="0" fontId="9" fillId="2" borderId="31" xfId="0" applyFont="1" applyFill="1" applyBorder="1" applyAlignment="1">
      <alignment vertical="center" wrapText="1"/>
    </xf>
    <xf numFmtId="0" fontId="9" fillId="2" borderId="32" xfId="0" applyFont="1" applyFill="1" applyBorder="1" applyAlignment="1">
      <alignment vertical="center" wrapText="1"/>
    </xf>
    <xf numFmtId="0" fontId="9" fillId="2" borderId="36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top"/>
    </xf>
    <xf numFmtId="0" fontId="7" fillId="0" borderId="8" xfId="0" applyFont="1" applyBorder="1" applyAlignment="1">
      <alignment horizontal="center" vertical="top"/>
    </xf>
    <xf numFmtId="0" fontId="4" fillId="0" borderId="0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28" xfId="0" applyFont="1" applyBorder="1" applyAlignment="1">
      <alignment horizontal="center"/>
    </xf>
    <xf numFmtId="0" fontId="7" fillId="0" borderId="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23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top"/>
    </xf>
    <xf numFmtId="0" fontId="2" fillId="0" borderId="5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6" fillId="0" borderId="7" xfId="0" applyFont="1" applyBorder="1" applyAlignment="1">
      <alignment horizontal="left"/>
    </xf>
    <xf numFmtId="0" fontId="26" fillId="0" borderId="0" xfId="0" applyFont="1" applyBorder="1" applyAlignment="1">
      <alignment horizontal="left"/>
    </xf>
    <xf numFmtId="0" fontId="20" fillId="5" borderId="9" xfId="0" applyFont="1" applyFill="1" applyBorder="1" applyAlignment="1">
      <alignment horizontal="center" vertical="center"/>
    </xf>
    <xf numFmtId="0" fontId="20" fillId="5" borderId="11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right"/>
    </xf>
    <xf numFmtId="0" fontId="0" fillId="0" borderId="8" xfId="0" applyBorder="1" applyAlignment="1">
      <alignment horizontal="right"/>
    </xf>
    <xf numFmtId="0" fontId="9" fillId="0" borderId="12" xfId="0" applyFont="1" applyBorder="1" applyAlignment="1">
      <alignment horizontal="center" vertical="center" wrapText="1"/>
    </xf>
    <xf numFmtId="0" fontId="9" fillId="0" borderId="28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top"/>
    </xf>
    <xf numFmtId="0" fontId="15" fillId="0" borderId="1" xfId="0" applyFont="1" applyBorder="1" applyAlignment="1">
      <alignment horizontal="right" vertical="center" indent="2"/>
    </xf>
    <xf numFmtId="0" fontId="15" fillId="0" borderId="2" xfId="0" applyFont="1" applyBorder="1" applyAlignment="1">
      <alignment horizontal="right" vertical="center" indent="2"/>
    </xf>
    <xf numFmtId="0" fontId="15" fillId="0" borderId="3" xfId="0" applyFont="1" applyBorder="1" applyAlignment="1">
      <alignment horizontal="right" vertical="center" indent="2"/>
    </xf>
    <xf numFmtId="0" fontId="23" fillId="2" borderId="21" xfId="0" applyFont="1" applyFill="1" applyBorder="1" applyAlignment="1">
      <alignment horizontal="right" vertical="center" wrapText="1"/>
    </xf>
    <xf numFmtId="0" fontId="23" fillId="2" borderId="20" xfId="0" applyFont="1" applyFill="1" applyBorder="1" applyAlignment="1">
      <alignment horizontal="right" vertical="center" wrapText="1"/>
    </xf>
    <xf numFmtId="0" fontId="25" fillId="0" borderId="24" xfId="0" applyFont="1" applyBorder="1" applyAlignment="1">
      <alignment horizontal="center" vertical="center" wrapText="1"/>
    </xf>
    <xf numFmtId="0" fontId="25" fillId="0" borderId="25" xfId="0" applyFont="1" applyBorder="1" applyAlignment="1">
      <alignment horizontal="center" vertical="center" wrapText="1"/>
    </xf>
    <xf numFmtId="0" fontId="20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16" fillId="4" borderId="7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3" fillId="4" borderId="8" xfId="0" applyFont="1" applyFill="1" applyBorder="1" applyAlignment="1">
      <alignment horizontal="center"/>
    </xf>
    <xf numFmtId="0" fontId="19" fillId="4" borderId="7" xfId="0" applyFont="1" applyFill="1" applyBorder="1" applyAlignment="1">
      <alignment horizontal="center"/>
    </xf>
    <xf numFmtId="0" fontId="15" fillId="4" borderId="0" xfId="0" applyFont="1" applyFill="1" applyBorder="1" applyAlignment="1">
      <alignment horizontal="center"/>
    </xf>
    <xf numFmtId="0" fontId="15" fillId="4" borderId="8" xfId="0" applyFont="1" applyFill="1" applyBorder="1" applyAlignment="1">
      <alignment horizontal="center"/>
    </xf>
    <xf numFmtId="0" fontId="23" fillId="2" borderId="26" xfId="0" applyFont="1" applyFill="1" applyBorder="1" applyAlignment="1">
      <alignment horizontal="right" wrapText="1"/>
    </xf>
    <xf numFmtId="0" fontId="23" fillId="2" borderId="29" xfId="0" applyFont="1" applyFill="1" applyBorder="1" applyAlignment="1">
      <alignment horizontal="right" wrapText="1"/>
    </xf>
    <xf numFmtId="0" fontId="5" fillId="0" borderId="26" xfId="0" applyFont="1" applyBorder="1" applyAlignment="1">
      <alignment horizontal="center" vertical="top"/>
    </xf>
    <xf numFmtId="0" fontId="5" fillId="0" borderId="27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5" fillId="0" borderId="0" xfId="0" applyFont="1" applyBorder="1" applyAlignment="1">
      <alignment horizontal="center" vertical="top"/>
    </xf>
    <xf numFmtId="0" fontId="1" fillId="0" borderId="7" xfId="0" applyFont="1" applyBorder="1" applyAlignment="1">
      <alignment horizontal="center" vertical="top" wrapText="1"/>
    </xf>
    <xf numFmtId="0" fontId="6" fillId="0" borderId="8" xfId="0" applyFont="1" applyBorder="1" applyAlignment="1">
      <alignment horizontal="center" vertical="top" wrapText="1"/>
    </xf>
    <xf numFmtId="0" fontId="6" fillId="0" borderId="7" xfId="0" applyFont="1" applyBorder="1" applyAlignment="1">
      <alignment horizontal="left" vertical="top" wrapText="1"/>
    </xf>
    <xf numFmtId="0" fontId="6" fillId="0" borderId="0" xfId="0" applyFont="1" applyBorder="1" applyAlignment="1">
      <alignment horizontal="left" vertical="top" wrapText="1"/>
    </xf>
    <xf numFmtId="0" fontId="6" fillId="0" borderId="8" xfId="0" applyFont="1" applyBorder="1" applyAlignment="1">
      <alignment horizontal="left" vertical="top" wrapText="1"/>
    </xf>
    <xf numFmtId="15" fontId="15" fillId="0" borderId="17" xfId="0" applyNumberFormat="1" applyFont="1" applyBorder="1" applyAlignment="1">
      <alignment horizontal="center" vertical="center"/>
    </xf>
    <xf numFmtId="15" fontId="15" fillId="0" borderId="18" xfId="0" applyNumberFormat="1" applyFont="1" applyBorder="1" applyAlignment="1">
      <alignment horizontal="center" vertical="center"/>
    </xf>
    <xf numFmtId="0" fontId="20" fillId="5" borderId="4" xfId="0" applyFont="1" applyFill="1" applyBorder="1" applyAlignment="1">
      <alignment horizontal="center" vertical="center"/>
    </xf>
    <xf numFmtId="0" fontId="20" fillId="5" borderId="12" xfId="0" applyFont="1" applyFill="1" applyBorder="1" applyAlignment="1">
      <alignment horizontal="center" vertical="center"/>
    </xf>
    <xf numFmtId="0" fontId="20" fillId="5" borderId="5" xfId="0" applyFont="1" applyFill="1" applyBorder="1" applyAlignment="1">
      <alignment vertical="center"/>
    </xf>
    <xf numFmtId="0" fontId="20" fillId="5" borderId="13" xfId="0" applyFont="1" applyFill="1" applyBorder="1" applyAlignment="1">
      <alignment vertical="center"/>
    </xf>
    <xf numFmtId="0" fontId="20" fillId="5" borderId="6" xfId="0" applyFont="1" applyFill="1" applyBorder="1" applyAlignment="1">
      <alignment vertical="center"/>
    </xf>
    <xf numFmtId="0" fontId="20" fillId="5" borderId="28" xfId="0" applyFont="1" applyFill="1" applyBorder="1" applyAlignment="1">
      <alignment vertical="center"/>
    </xf>
    <xf numFmtId="0" fontId="4" fillId="0" borderId="4" xfId="0" applyFont="1" applyBorder="1" applyAlignment="1">
      <alignment horizontal="left" vertical="top"/>
    </xf>
    <xf numFmtId="0" fontId="4" fillId="0" borderId="6" xfId="0" applyFont="1" applyBorder="1" applyAlignment="1">
      <alignment horizontal="left" vertical="top"/>
    </xf>
    <xf numFmtId="0" fontId="18" fillId="0" borderId="7" xfId="0" applyFont="1" applyBorder="1" applyAlignment="1">
      <alignment horizontal="left" vertical="center"/>
    </xf>
    <xf numFmtId="0" fontId="18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top"/>
    </xf>
    <xf numFmtId="0" fontId="4" fillId="0" borderId="8" xfId="0" applyFont="1" applyBorder="1" applyAlignment="1">
      <alignment horizontal="left" vertical="top"/>
    </xf>
    <xf numFmtId="0" fontId="4" fillId="0" borderId="12" xfId="0" applyFont="1" applyBorder="1" applyAlignment="1">
      <alignment horizontal="left" vertical="top"/>
    </xf>
    <xf numFmtId="0" fontId="4" fillId="0" borderId="28" xfId="0" applyFont="1" applyBorder="1" applyAlignment="1">
      <alignment horizontal="left" vertical="top"/>
    </xf>
    <xf numFmtId="0" fontId="8" fillId="0" borderId="7" xfId="0" applyFont="1" applyBorder="1" applyAlignment="1">
      <alignment horizontal="left"/>
    </xf>
    <xf numFmtId="0" fontId="8" fillId="0" borderId="0" xfId="0" applyFont="1" applyBorder="1" applyAlignment="1">
      <alignment horizontal="left"/>
    </xf>
    <xf numFmtId="0" fontId="4" fillId="0" borderId="8" xfId="0" applyFont="1" applyBorder="1" applyAlignment="1">
      <alignment horizontal="right"/>
    </xf>
    <xf numFmtId="0" fontId="7" fillId="0" borderId="7" xfId="0" applyFont="1" applyBorder="1" applyAlignment="1">
      <alignment horizontal="center" vertical="top" wrapText="1"/>
    </xf>
    <xf numFmtId="0" fontId="7" fillId="0" borderId="0" xfId="0" applyFont="1" applyBorder="1" applyAlignment="1">
      <alignment horizontal="center" vertical="top" wrapText="1"/>
    </xf>
    <xf numFmtId="0" fontId="7" fillId="0" borderId="12" xfId="0" applyFont="1" applyBorder="1" applyAlignment="1">
      <alignment horizontal="center" vertical="top" wrapText="1"/>
    </xf>
    <xf numFmtId="0" fontId="7" fillId="0" borderId="13" xfId="0" applyFont="1" applyBorder="1" applyAlignment="1">
      <alignment horizontal="center" vertical="top" wrapText="1"/>
    </xf>
    <xf numFmtId="0" fontId="15" fillId="3" borderId="6" xfId="0" applyFont="1" applyFill="1" applyBorder="1" applyAlignment="1">
      <alignment vertical="top"/>
    </xf>
    <xf numFmtId="0" fontId="15" fillId="3" borderId="28" xfId="0" applyFont="1" applyFill="1" applyBorder="1" applyAlignment="1">
      <alignment vertical="top"/>
    </xf>
    <xf numFmtId="0" fontId="15" fillId="3" borderId="9" xfId="0" applyFont="1" applyFill="1" applyBorder="1" applyAlignment="1">
      <alignment horizontal="center" vertical="top"/>
    </xf>
    <xf numFmtId="0" fontId="15" fillId="3" borderId="11" xfId="0" applyFont="1" applyFill="1" applyBorder="1" applyAlignment="1">
      <alignment horizontal="center" vertical="top"/>
    </xf>
    <xf numFmtId="0" fontId="13" fillId="2" borderId="26" xfId="0" applyFont="1" applyFill="1" applyBorder="1" applyAlignment="1">
      <alignment horizontal="right" wrapText="1"/>
    </xf>
    <xf numFmtId="0" fontId="13" fillId="2" borderId="29" xfId="0" applyFont="1" applyFill="1" applyBorder="1" applyAlignment="1">
      <alignment horizontal="right" wrapText="1"/>
    </xf>
    <xf numFmtId="0" fontId="6" fillId="0" borderId="7" xfId="0" applyFont="1" applyBorder="1" applyAlignment="1">
      <alignment horizontal="center" vertical="top" wrapText="1"/>
    </xf>
    <xf numFmtId="0" fontId="6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center" wrapText="1"/>
    </xf>
    <xf numFmtId="15" fontId="8" fillId="0" borderId="17" xfId="0" applyNumberFormat="1" applyFont="1" applyBorder="1" applyAlignment="1">
      <alignment horizontal="center" vertical="center"/>
    </xf>
    <xf numFmtId="15" fontId="8" fillId="0" borderId="18" xfId="0" applyNumberFormat="1" applyFont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top"/>
    </xf>
    <xf numFmtId="0" fontId="15" fillId="3" borderId="12" xfId="0" applyFont="1" applyFill="1" applyBorder="1" applyAlignment="1">
      <alignment horizontal="center" vertical="top"/>
    </xf>
    <xf numFmtId="0" fontId="15" fillId="3" borderId="5" xfId="0" applyFont="1" applyFill="1" applyBorder="1" applyAlignment="1">
      <alignment vertical="top"/>
    </xf>
    <xf numFmtId="0" fontId="15" fillId="3" borderId="13" xfId="0" applyFont="1" applyFill="1" applyBorder="1" applyAlignment="1">
      <alignment vertical="top"/>
    </xf>
    <xf numFmtId="0" fontId="5" fillId="4" borderId="6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/>
    </xf>
    <xf numFmtId="0" fontId="15" fillId="4" borderId="0" xfId="0" applyFont="1" applyFill="1" applyAlignment="1">
      <alignment horizontal="center"/>
    </xf>
    <xf numFmtId="0" fontId="4" fillId="0" borderId="26" xfId="0" applyFont="1" applyBorder="1" applyAlignment="1">
      <alignment horizontal="center" vertical="top"/>
    </xf>
    <xf numFmtId="0" fontId="4" fillId="0" borderId="27" xfId="0" applyFont="1" applyBorder="1" applyAlignment="1">
      <alignment horizontal="center" vertical="top"/>
    </xf>
    <xf numFmtId="0" fontId="4" fillId="0" borderId="1" xfId="0" applyFont="1" applyBorder="1" applyAlignment="1">
      <alignment horizontal="left" vertical="top"/>
    </xf>
    <xf numFmtId="0" fontId="4" fillId="0" borderId="2" xfId="0" applyFont="1" applyBorder="1" applyAlignment="1">
      <alignment horizontal="left" vertical="top"/>
    </xf>
    <xf numFmtId="0" fontId="4" fillId="0" borderId="3" xfId="0" applyFont="1" applyBorder="1" applyAlignment="1">
      <alignment horizontal="left" vertical="top"/>
    </xf>
    <xf numFmtId="0" fontId="4" fillId="0" borderId="22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D4971"/>
      <color rgb="FF1F4D77"/>
      <color rgb="FF003B68"/>
      <color rgb="FF004376"/>
      <color rgb="FF000099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104775</xdr:colOff>
      <xdr:row>39</xdr:row>
      <xdr:rowOff>123825</xdr:rowOff>
    </xdr:from>
    <xdr:to>
      <xdr:col>6</xdr:col>
      <xdr:colOff>725065</xdr:colOff>
      <xdr:row>46</xdr:row>
      <xdr:rowOff>67437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0" y="7629525"/>
          <a:ext cx="2002536" cy="1124712"/>
        </a:xfrm>
        <a:prstGeom prst="rect">
          <a:avLst/>
        </a:prstGeom>
      </xdr:spPr>
    </xdr:pic>
    <xdr:clientData/>
  </xdr:twoCellAnchor>
  <xdr:twoCellAnchor editAs="oneCell">
    <xdr:from>
      <xdr:col>1</xdr:col>
      <xdr:colOff>33620</xdr:colOff>
      <xdr:row>0</xdr:row>
      <xdr:rowOff>201706</xdr:rowOff>
    </xdr:from>
    <xdr:to>
      <xdr:col>6</xdr:col>
      <xdr:colOff>411027</xdr:colOff>
      <xdr:row>2</xdr:row>
      <xdr:rowOff>10459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267" y="201706"/>
          <a:ext cx="6596672" cy="850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104775</xdr:colOff>
      <xdr:row>38</xdr:row>
      <xdr:rowOff>123825</xdr:rowOff>
    </xdr:from>
    <xdr:to>
      <xdr:col>6</xdr:col>
      <xdr:colOff>669035</xdr:colOff>
      <xdr:row>45</xdr:row>
      <xdr:rowOff>67437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C7E3052A-709D-4460-8258-2E6CCF08F9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5325" y="7696200"/>
          <a:ext cx="2002535" cy="112471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214311</xdr:rowOff>
    </xdr:from>
    <xdr:to>
      <xdr:col>6</xdr:col>
      <xdr:colOff>781049</xdr:colOff>
      <xdr:row>2</xdr:row>
      <xdr:rowOff>9841</xdr:rowOff>
    </xdr:to>
    <xdr:pic>
      <xdr:nvPicPr>
        <xdr:cNvPr id="3" name="image1.jpeg">
          <a:extLst>
            <a:ext uri="{FF2B5EF4-FFF2-40B4-BE49-F238E27FC236}">
              <a16:creationId xmlns:a16="http://schemas.microsoft.com/office/drawing/2014/main" xmlns="" id="{5059AF9E-B4F4-4A0D-AB19-C44405FF2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214311"/>
          <a:ext cx="6696074" cy="8432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50"/>
  <sheetViews>
    <sheetView showGridLines="0" tabSelected="1" view="pageBreakPreview" zoomScale="85" zoomScaleNormal="100" zoomScaleSheetLayoutView="85" zoomScalePageLayoutView="40" workbookViewId="0">
      <selection activeCell="B13" sqref="B13"/>
    </sheetView>
  </sheetViews>
  <sheetFormatPr defaultRowHeight="12.75"/>
  <cols>
    <col min="1" max="1" width="8" style="12" customWidth="1"/>
    <col min="2" max="2" width="51.140625" style="61" customWidth="1"/>
    <col min="3" max="3" width="9.85546875" style="61" customWidth="1"/>
    <col min="4" max="4" width="11.5703125" style="61" customWidth="1"/>
    <col min="5" max="5" width="7.42578125" style="61" customWidth="1"/>
    <col min="6" max="6" width="13.28515625" style="62" bestFit="1" customWidth="1"/>
    <col min="7" max="7" width="13" style="62" customWidth="1"/>
    <col min="8" max="8" width="10.5703125" style="61" customWidth="1"/>
    <col min="9" max="16384" width="9.140625" style="61"/>
  </cols>
  <sheetData>
    <row r="1" spans="1:9" s="60" customFormat="1" ht="18">
      <c r="A1" s="130" t="s">
        <v>0</v>
      </c>
      <c r="B1" s="131"/>
      <c r="C1" s="131"/>
      <c r="D1" s="131"/>
      <c r="E1" s="131"/>
      <c r="F1" s="131"/>
      <c r="G1" s="131"/>
      <c r="H1" s="61"/>
      <c r="I1" s="61"/>
    </row>
    <row r="2" spans="1:9" ht="64.5" customHeight="1">
      <c r="A2" s="132"/>
      <c r="B2" s="133"/>
      <c r="C2" s="133"/>
      <c r="D2" s="133"/>
      <c r="E2" s="133"/>
      <c r="F2" s="133"/>
      <c r="G2" s="134"/>
    </row>
    <row r="3" spans="1:9" ht="15">
      <c r="A3" s="135" t="s">
        <v>20</v>
      </c>
      <c r="B3" s="136"/>
      <c r="C3" s="136"/>
      <c r="D3" s="136"/>
      <c r="E3" s="136"/>
      <c r="F3" s="136"/>
      <c r="G3" s="137"/>
    </row>
    <row r="4" spans="1:9" ht="13.5" thickBot="1">
      <c r="G4" s="13"/>
    </row>
    <row r="5" spans="1:9" ht="18.75" thickBot="1">
      <c r="A5" s="140" t="s">
        <v>39</v>
      </c>
      <c r="B5" s="141"/>
      <c r="C5" s="108" t="s">
        <v>18</v>
      </c>
      <c r="D5" s="109"/>
      <c r="E5" s="110"/>
      <c r="F5" s="104" t="s">
        <v>8</v>
      </c>
      <c r="G5" s="106" t="s">
        <v>2</v>
      </c>
      <c r="I5" s="63"/>
    </row>
    <row r="6" spans="1:9" ht="19.5" customHeight="1">
      <c r="A6" s="142" t="s">
        <v>40</v>
      </c>
      <c r="B6" s="143"/>
      <c r="C6" s="111"/>
      <c r="D6" s="112"/>
      <c r="E6" s="113"/>
      <c r="F6" s="105"/>
      <c r="G6" s="107"/>
    </row>
    <row r="7" spans="1:9" ht="16.5" customHeight="1">
      <c r="A7" s="144" t="s">
        <v>41</v>
      </c>
      <c r="B7" s="145"/>
      <c r="C7" s="146"/>
      <c r="D7" s="147"/>
      <c r="E7" s="148"/>
      <c r="F7" s="128">
        <v>385</v>
      </c>
      <c r="G7" s="149">
        <f ca="1">TODAY()</f>
        <v>45667</v>
      </c>
    </row>
    <row r="8" spans="1:9" ht="18" customHeight="1" thickBot="1">
      <c r="A8" s="120"/>
      <c r="B8" s="121"/>
      <c r="C8" s="146"/>
      <c r="D8" s="147"/>
      <c r="E8" s="148"/>
      <c r="F8" s="129"/>
      <c r="G8" s="150"/>
    </row>
    <row r="9" spans="1:9">
      <c r="A9" s="116" t="s">
        <v>17</v>
      </c>
      <c r="B9" s="151" t="s">
        <v>3</v>
      </c>
      <c r="C9" s="151"/>
      <c r="D9" s="153" t="s">
        <v>4</v>
      </c>
      <c r="E9" s="155"/>
      <c r="F9" s="116" t="s">
        <v>5</v>
      </c>
      <c r="G9" s="116" t="s">
        <v>6</v>
      </c>
    </row>
    <row r="10" spans="1:9" ht="13.5" thickBot="1">
      <c r="A10" s="117"/>
      <c r="B10" s="152"/>
      <c r="C10" s="152"/>
      <c r="D10" s="154"/>
      <c r="E10" s="156"/>
      <c r="F10" s="117"/>
      <c r="G10" s="117"/>
    </row>
    <row r="11" spans="1:9" ht="22.5" customHeight="1">
      <c r="A11" s="68"/>
      <c r="B11" s="81"/>
      <c r="C11" s="82"/>
      <c r="D11" s="83"/>
      <c r="E11" s="81"/>
      <c r="F11" s="84"/>
      <c r="G11" s="85"/>
      <c r="H11" s="34"/>
    </row>
    <row r="12" spans="1:9" ht="22.5" customHeight="1">
      <c r="A12" s="67">
        <v>1</v>
      </c>
      <c r="B12" s="86" t="s">
        <v>35</v>
      </c>
      <c r="C12" s="87"/>
      <c r="D12" s="88">
        <v>184</v>
      </c>
      <c r="E12" s="88"/>
      <c r="F12" s="89">
        <v>50</v>
      </c>
      <c r="G12" s="90">
        <f>D12*F12</f>
        <v>9200</v>
      </c>
      <c r="H12" s="35"/>
    </row>
    <row r="13" spans="1:9" ht="22.5" customHeight="1">
      <c r="A13" s="67">
        <v>2</v>
      </c>
      <c r="B13" s="86" t="s">
        <v>36</v>
      </c>
      <c r="C13" s="87"/>
      <c r="D13" s="88">
        <v>852</v>
      </c>
      <c r="E13" s="88"/>
      <c r="F13" s="89">
        <v>10</v>
      </c>
      <c r="G13" s="90">
        <f t="shared" ref="G13:G15" si="0">D13*F13</f>
        <v>8520</v>
      </c>
      <c r="H13" s="35"/>
    </row>
    <row r="14" spans="1:9" ht="22.5" customHeight="1">
      <c r="A14" s="67">
        <v>3</v>
      </c>
      <c r="B14" s="86" t="s">
        <v>37</v>
      </c>
      <c r="C14" s="87"/>
      <c r="D14" s="88">
        <v>20981</v>
      </c>
      <c r="E14" s="88"/>
      <c r="F14" s="89">
        <v>1</v>
      </c>
      <c r="G14" s="90">
        <f t="shared" si="0"/>
        <v>20981</v>
      </c>
      <c r="H14" s="35"/>
    </row>
    <row r="15" spans="1:9" ht="22.5" customHeight="1">
      <c r="A15" s="67">
        <v>4</v>
      </c>
      <c r="B15" s="86" t="s">
        <v>38</v>
      </c>
      <c r="C15" s="87"/>
      <c r="D15" s="88">
        <v>4</v>
      </c>
      <c r="E15" s="88"/>
      <c r="F15" s="89">
        <v>120</v>
      </c>
      <c r="G15" s="90">
        <f t="shared" si="0"/>
        <v>480</v>
      </c>
      <c r="H15" s="35"/>
    </row>
    <row r="16" spans="1:9" ht="22.5" customHeight="1">
      <c r="A16" s="67"/>
      <c r="B16" s="86"/>
      <c r="C16" s="87"/>
      <c r="D16" s="88"/>
      <c r="E16" s="88"/>
      <c r="F16" s="89"/>
      <c r="G16" s="90"/>
      <c r="H16" s="35"/>
    </row>
    <row r="17" spans="1:8" ht="22.5" customHeight="1">
      <c r="A17" s="67"/>
      <c r="B17" s="86"/>
      <c r="C17" s="91"/>
      <c r="D17" s="88"/>
      <c r="E17" s="86"/>
      <c r="F17" s="89"/>
      <c r="G17" s="90"/>
      <c r="H17" s="35"/>
    </row>
    <row r="18" spans="1:8" ht="22.5" customHeight="1">
      <c r="A18" s="67"/>
      <c r="B18" s="86"/>
      <c r="C18" s="91"/>
      <c r="D18" s="88"/>
      <c r="E18" s="86"/>
      <c r="F18" s="89"/>
      <c r="G18" s="90"/>
      <c r="H18" s="35"/>
    </row>
    <row r="19" spans="1:8" ht="22.5" customHeight="1">
      <c r="A19" s="67"/>
      <c r="B19" s="86"/>
      <c r="C19" s="91"/>
      <c r="D19" s="88"/>
      <c r="E19" s="86"/>
      <c r="F19" s="89"/>
      <c r="G19" s="90"/>
      <c r="H19" s="35"/>
    </row>
    <row r="20" spans="1:8" ht="22.5" customHeight="1">
      <c r="A20" s="67"/>
      <c r="B20" s="86"/>
      <c r="C20" s="91"/>
      <c r="D20" s="88"/>
      <c r="E20" s="86"/>
      <c r="F20" s="89"/>
      <c r="G20" s="90"/>
      <c r="H20" s="35"/>
    </row>
    <row r="21" spans="1:8" ht="22.5" customHeight="1">
      <c r="A21" s="67"/>
      <c r="B21" s="86"/>
      <c r="C21" s="91"/>
      <c r="D21" s="88"/>
      <c r="E21" s="86"/>
      <c r="F21" s="89"/>
      <c r="G21" s="90"/>
      <c r="H21" s="35"/>
    </row>
    <row r="22" spans="1:8" ht="22.5" customHeight="1">
      <c r="A22" s="67"/>
      <c r="B22" s="86"/>
      <c r="C22" s="91"/>
      <c r="D22" s="88"/>
      <c r="E22" s="86"/>
      <c r="F22" s="89"/>
      <c r="G22" s="90"/>
      <c r="H22" s="35"/>
    </row>
    <row r="23" spans="1:8" ht="22.5" customHeight="1">
      <c r="A23" s="67"/>
      <c r="B23" s="86"/>
      <c r="C23" s="91"/>
      <c r="D23" s="88"/>
      <c r="E23" s="86"/>
      <c r="F23" s="89"/>
      <c r="G23" s="90"/>
      <c r="H23" s="35"/>
    </row>
    <row r="24" spans="1:8" ht="22.5" customHeight="1">
      <c r="A24" s="67"/>
      <c r="B24" s="86"/>
      <c r="C24" s="91"/>
      <c r="D24" s="88"/>
      <c r="E24" s="86"/>
      <c r="F24" s="89"/>
      <c r="G24" s="90"/>
      <c r="H24" s="35"/>
    </row>
    <row r="25" spans="1:8" ht="22.5" customHeight="1">
      <c r="A25" s="67"/>
      <c r="B25" s="86"/>
      <c r="C25" s="91"/>
      <c r="D25" s="88"/>
      <c r="E25" s="86"/>
      <c r="F25" s="89"/>
      <c r="G25" s="90"/>
      <c r="H25" s="35"/>
    </row>
    <row r="26" spans="1:8" ht="22.5" customHeight="1">
      <c r="A26" s="67" t="str">
        <f t="shared" ref="A26:A30" si="1">IF(COUNTA(B26)&gt;0,A25+1,"")</f>
        <v/>
      </c>
      <c r="B26" s="86"/>
      <c r="C26" s="91"/>
      <c r="D26" s="88"/>
      <c r="E26" s="86"/>
      <c r="F26" s="92"/>
      <c r="G26" s="90"/>
      <c r="H26" s="35"/>
    </row>
    <row r="27" spans="1:8" ht="22.5" customHeight="1">
      <c r="A27" s="67" t="str">
        <f t="shared" si="1"/>
        <v/>
      </c>
      <c r="B27" s="86"/>
      <c r="C27" s="91"/>
      <c r="D27" s="86"/>
      <c r="E27" s="86"/>
      <c r="F27" s="92"/>
      <c r="G27" s="90"/>
      <c r="H27" s="35"/>
    </row>
    <row r="28" spans="1:8" ht="22.5" customHeight="1">
      <c r="A28" s="67" t="str">
        <f t="shared" si="1"/>
        <v/>
      </c>
      <c r="B28" s="86"/>
      <c r="C28" s="91"/>
      <c r="D28" s="86"/>
      <c r="E28" s="86"/>
      <c r="F28" s="89"/>
      <c r="G28" s="90"/>
      <c r="H28" s="35"/>
    </row>
    <row r="29" spans="1:8" ht="22.5" customHeight="1">
      <c r="A29" s="67" t="str">
        <f t="shared" si="1"/>
        <v/>
      </c>
      <c r="B29" s="70"/>
      <c r="C29" s="71"/>
      <c r="D29" s="70"/>
      <c r="E29" s="70"/>
      <c r="F29" s="72"/>
      <c r="G29" s="90"/>
      <c r="H29" s="64"/>
    </row>
    <row r="30" spans="1:8" ht="22.5" customHeight="1" thickBot="1">
      <c r="A30" s="69" t="str">
        <f t="shared" si="1"/>
        <v/>
      </c>
      <c r="B30" s="73"/>
      <c r="C30" s="74"/>
      <c r="D30" s="73"/>
      <c r="E30" s="73"/>
      <c r="F30" s="75"/>
      <c r="G30" s="93" t="str">
        <f t="shared" ref="G30" si="2">IF((D30*F30)=0,"",PRODUCT(F30,D30))</f>
        <v/>
      </c>
    </row>
    <row r="31" spans="1:8" ht="21.75" customHeight="1" thickBot="1">
      <c r="A31" s="138" t="s">
        <v>15</v>
      </c>
      <c r="B31" s="139"/>
      <c r="C31" s="50"/>
      <c r="D31" s="51"/>
      <c r="E31" s="51"/>
      <c r="F31" s="52"/>
      <c r="G31" s="76">
        <f>SUM(G11:G30)</f>
        <v>39181</v>
      </c>
    </row>
    <row r="32" spans="1:8" ht="18.75" customHeight="1">
      <c r="A32" s="65"/>
      <c r="B32" s="66" t="s">
        <v>19</v>
      </c>
      <c r="C32" s="35"/>
      <c r="D32" s="2"/>
      <c r="E32" s="2"/>
      <c r="F32" s="6"/>
      <c r="G32" s="77">
        <f>G31*(RIGHT(B32,3))</f>
        <v>0</v>
      </c>
    </row>
    <row r="33" spans="1:7" ht="21" customHeight="1" thickBot="1">
      <c r="A33" s="126" t="s">
        <v>14</v>
      </c>
      <c r="B33" s="127"/>
      <c r="C33" s="35"/>
      <c r="D33" s="2"/>
      <c r="E33" s="2"/>
      <c r="F33" s="7"/>
      <c r="G33" s="78">
        <f>G31-G32</f>
        <v>39181</v>
      </c>
    </row>
    <row r="34" spans="1:7" ht="15" thickTop="1">
      <c r="B34" s="19"/>
      <c r="C34" s="35"/>
      <c r="D34" s="2"/>
      <c r="E34" s="2"/>
      <c r="F34" s="7"/>
      <c r="G34" s="79"/>
    </row>
    <row r="35" spans="1:7" ht="15">
      <c r="B35" s="20" t="s">
        <v>12</v>
      </c>
      <c r="C35" s="34"/>
      <c r="D35" s="3"/>
      <c r="E35" s="3"/>
      <c r="F35" s="21" t="str">
        <f>TRIM(RIGHT(B35,3))</f>
        <v>9%</v>
      </c>
      <c r="G35" s="80">
        <f>$G$33*F35</f>
        <v>3526.29</v>
      </c>
    </row>
    <row r="36" spans="1:7" ht="15">
      <c r="B36" s="20" t="s">
        <v>13</v>
      </c>
      <c r="C36" s="34"/>
      <c r="D36" s="3"/>
      <c r="E36" s="3"/>
      <c r="F36" s="21">
        <v>0.09</v>
      </c>
      <c r="G36" s="80">
        <f>$G$33*F36</f>
        <v>3526.29</v>
      </c>
    </row>
    <row r="37" spans="1:7" ht="13.5" thickBot="1">
      <c r="B37" s="20" t="s">
        <v>30</v>
      </c>
      <c r="C37" s="34"/>
      <c r="D37" s="2"/>
      <c r="E37" s="2"/>
      <c r="F37" s="21"/>
      <c r="G37" s="4"/>
    </row>
    <row r="38" spans="1:7" ht="16.5" thickBot="1">
      <c r="A38" s="123" t="s">
        <v>16</v>
      </c>
      <c r="B38" s="124"/>
      <c r="C38" s="124"/>
      <c r="D38" s="124"/>
      <c r="E38" s="124"/>
      <c r="F38" s="125"/>
      <c r="G38" s="14">
        <f>SUM(G33:G37)</f>
        <v>46233.58</v>
      </c>
    </row>
    <row r="39" spans="1:7">
      <c r="A39" s="122" t="s">
        <v>7</v>
      </c>
      <c r="B39" s="94"/>
      <c r="C39" s="36"/>
      <c r="D39" s="36"/>
      <c r="E39" s="36"/>
      <c r="F39" s="37"/>
      <c r="G39" s="10"/>
    </row>
    <row r="40" spans="1:7">
      <c r="A40" s="114" t="str">
        <f>PROPER(NumToWord(G38))</f>
        <v>Forty-Six Thousand Two Hundred Thirty-Three</v>
      </c>
      <c r="B40" s="115"/>
      <c r="C40" s="115"/>
      <c r="D40" s="115"/>
      <c r="E40" s="115"/>
      <c r="F40" s="118"/>
      <c r="G40" s="119"/>
    </row>
    <row r="41" spans="1:7">
      <c r="A41" s="22"/>
      <c r="B41" s="38"/>
      <c r="C41" s="38"/>
      <c r="D41" s="38"/>
      <c r="E41" s="38"/>
      <c r="F41" s="39"/>
      <c r="G41" s="23"/>
    </row>
    <row r="42" spans="1:7" ht="13.5" thickBot="1">
      <c r="A42" s="159" t="s">
        <v>21</v>
      </c>
      <c r="B42" s="160"/>
      <c r="C42" s="40"/>
      <c r="D42" s="40"/>
      <c r="E42" s="40"/>
      <c r="F42" s="94"/>
      <c r="G42" s="95"/>
    </row>
    <row r="43" spans="1:7" ht="13.5" customHeight="1">
      <c r="A43" s="157" t="s">
        <v>32</v>
      </c>
      <c r="B43" s="158"/>
      <c r="C43" s="40"/>
      <c r="D43" s="40"/>
      <c r="E43" s="40"/>
      <c r="F43" s="96" t="s">
        <v>10</v>
      </c>
      <c r="G43" s="97"/>
    </row>
    <row r="44" spans="1:7" ht="13.5" customHeight="1">
      <c r="A44" s="24" t="s">
        <v>34</v>
      </c>
      <c r="B44" s="25"/>
      <c r="C44" s="40"/>
      <c r="D44" s="40"/>
      <c r="E44" s="40"/>
      <c r="F44" s="96"/>
      <c r="G44" s="97"/>
    </row>
    <row r="45" spans="1:7" ht="13.5" customHeight="1">
      <c r="A45" s="161" t="s">
        <v>22</v>
      </c>
      <c r="B45" s="162"/>
      <c r="C45" s="40"/>
      <c r="D45" s="40"/>
      <c r="E45" s="40"/>
      <c r="F45" s="96"/>
      <c r="G45" s="97"/>
    </row>
    <row r="46" spans="1:7" ht="13.5" customHeight="1">
      <c r="A46" s="161" t="s">
        <v>23</v>
      </c>
      <c r="B46" s="162"/>
      <c r="C46" s="40"/>
      <c r="D46" s="40"/>
      <c r="E46" s="40"/>
      <c r="F46" s="96"/>
      <c r="G46" s="97"/>
    </row>
    <row r="47" spans="1:7" ht="13.5" customHeight="1" thickBot="1">
      <c r="A47" s="163" t="s">
        <v>24</v>
      </c>
      <c r="B47" s="164"/>
      <c r="C47" s="40"/>
      <c r="D47" s="40"/>
      <c r="E47" s="40"/>
      <c r="F47" s="96"/>
      <c r="G47" s="97"/>
    </row>
    <row r="48" spans="1:7" ht="12.75" customHeight="1">
      <c r="A48" s="100" t="s">
        <v>25</v>
      </c>
      <c r="B48" s="101"/>
      <c r="C48" s="41"/>
      <c r="D48" s="41"/>
      <c r="E48" s="41"/>
      <c r="F48" s="96"/>
      <c r="G48" s="97"/>
    </row>
    <row r="49" spans="1:7" ht="13.5" thickBot="1">
      <c r="A49" s="102"/>
      <c r="B49" s="103"/>
      <c r="C49" s="41"/>
      <c r="D49" s="41"/>
      <c r="E49" s="41"/>
      <c r="F49" s="98"/>
      <c r="G49" s="99"/>
    </row>
    <row r="50" spans="1:7" ht="13.5" thickBot="1">
      <c r="A50" s="15"/>
      <c r="B50" s="16"/>
      <c r="C50" s="16"/>
      <c r="D50" s="16"/>
      <c r="E50" s="16"/>
      <c r="F50" s="17"/>
      <c r="G50" s="18"/>
    </row>
  </sheetData>
  <mergeCells count="35">
    <mergeCell ref="A43:B43"/>
    <mergeCell ref="A42:B42"/>
    <mergeCell ref="A45:B45"/>
    <mergeCell ref="A46:B46"/>
    <mergeCell ref="A47:B47"/>
    <mergeCell ref="A1:G1"/>
    <mergeCell ref="A2:G2"/>
    <mergeCell ref="A3:G3"/>
    <mergeCell ref="A31:B31"/>
    <mergeCell ref="A5:B5"/>
    <mergeCell ref="A6:B6"/>
    <mergeCell ref="A7:B7"/>
    <mergeCell ref="C7:E8"/>
    <mergeCell ref="G7:G8"/>
    <mergeCell ref="A9:A10"/>
    <mergeCell ref="B9:B10"/>
    <mergeCell ref="C9:C10"/>
    <mergeCell ref="D9:D10"/>
    <mergeCell ref="E9:E10"/>
    <mergeCell ref="F42:G42"/>
    <mergeCell ref="F43:G49"/>
    <mergeCell ref="A48:B49"/>
    <mergeCell ref="F5:F6"/>
    <mergeCell ref="G5:G6"/>
    <mergeCell ref="C5:E5"/>
    <mergeCell ref="C6:E6"/>
    <mergeCell ref="A40:E40"/>
    <mergeCell ref="G9:G10"/>
    <mergeCell ref="F40:G40"/>
    <mergeCell ref="F9:F10"/>
    <mergeCell ref="A8:B8"/>
    <mergeCell ref="A39:B39"/>
    <mergeCell ref="A38:F38"/>
    <mergeCell ref="A33:B33"/>
    <mergeCell ref="F7:F8"/>
  </mergeCells>
  <printOptions horizontalCentered="1" verticalCentered="1"/>
  <pageMargins left="0.19685039370078741" right="0.19685039370078741" top="0.31496062992125984" bottom="0.19685039370078741" header="0.31496062992125984" footer="0.15748031496062992"/>
  <pageSetup paperSize="9" scale="7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49"/>
  <sheetViews>
    <sheetView showGridLines="0" view="pageBreakPreview" topLeftCell="A25" zoomScaleNormal="100" zoomScaleSheetLayoutView="100" workbookViewId="0">
      <selection activeCell="E51" sqref="E51"/>
    </sheetView>
  </sheetViews>
  <sheetFormatPr defaultRowHeight="12.75"/>
  <cols>
    <col min="1" max="1" width="7" bestFit="1" customWidth="1"/>
    <col min="2" max="2" width="38.7109375" customWidth="1"/>
    <col min="3" max="3" width="9.85546875" customWidth="1"/>
    <col min="4" max="4" width="11.5703125" customWidth="1"/>
    <col min="5" max="5" width="8.28515625" bestFit="1" customWidth="1"/>
    <col min="6" max="6" width="13.28515625" style="1" bestFit="1" customWidth="1"/>
    <col min="7" max="7" width="13" style="1" customWidth="1"/>
    <col min="8" max="8" width="10.5703125" customWidth="1"/>
  </cols>
  <sheetData>
    <row r="1" spans="1:9" ht="18">
      <c r="A1" s="130" t="s">
        <v>0</v>
      </c>
      <c r="B1" s="131"/>
      <c r="C1" s="131"/>
      <c r="D1" s="131"/>
      <c r="E1" s="131"/>
      <c r="F1" s="131"/>
      <c r="G1" s="188"/>
    </row>
    <row r="2" spans="1:9" ht="64.5" customHeight="1">
      <c r="A2" s="132"/>
      <c r="B2" s="189"/>
      <c r="C2" s="189"/>
      <c r="D2" s="189"/>
      <c r="E2" s="189"/>
      <c r="F2" s="189"/>
      <c r="G2" s="134"/>
    </row>
    <row r="3" spans="1:9" ht="15">
      <c r="A3" s="135"/>
      <c r="B3" s="190"/>
      <c r="C3" s="190"/>
      <c r="D3" s="190"/>
      <c r="E3" s="190"/>
      <c r="F3" s="190"/>
      <c r="G3" s="137"/>
    </row>
    <row r="4" spans="1:9" ht="13.5" thickBot="1">
      <c r="A4" s="12"/>
      <c r="G4" s="13"/>
    </row>
    <row r="5" spans="1:9" ht="13.5" thickBot="1">
      <c r="A5" s="191" t="s">
        <v>1</v>
      </c>
      <c r="B5" s="192"/>
      <c r="C5" s="193" t="s">
        <v>18</v>
      </c>
      <c r="D5" s="194"/>
      <c r="E5" s="195"/>
      <c r="F5" s="196" t="s">
        <v>8</v>
      </c>
      <c r="G5" s="198" t="s">
        <v>2</v>
      </c>
      <c r="I5" s="11"/>
    </row>
    <row r="6" spans="1:9" ht="19.5" customHeight="1">
      <c r="A6" s="142" t="s">
        <v>11</v>
      </c>
      <c r="B6" s="200"/>
      <c r="C6" s="111"/>
      <c r="D6" s="112"/>
      <c r="E6" s="113"/>
      <c r="F6" s="197"/>
      <c r="G6" s="199"/>
    </row>
    <row r="7" spans="1:9" ht="12.75" customHeight="1">
      <c r="A7" s="178" t="s">
        <v>9</v>
      </c>
      <c r="B7" s="145"/>
      <c r="C7" s="146"/>
      <c r="D7" s="179"/>
      <c r="E7" s="148"/>
      <c r="F7" s="180">
        <v>0</v>
      </c>
      <c r="G7" s="182">
        <f ca="1">TODAY()</f>
        <v>45667</v>
      </c>
    </row>
    <row r="8" spans="1:9" ht="13.5" customHeight="1" thickBot="1">
      <c r="A8" s="120"/>
      <c r="B8" s="121"/>
      <c r="C8" s="146"/>
      <c r="D8" s="179"/>
      <c r="E8" s="148"/>
      <c r="F8" s="181"/>
      <c r="G8" s="183"/>
    </row>
    <row r="9" spans="1:9">
      <c r="A9" s="174" t="s">
        <v>17</v>
      </c>
      <c r="B9" s="184" t="s">
        <v>3</v>
      </c>
      <c r="C9" s="184"/>
      <c r="D9" s="186" t="s">
        <v>4</v>
      </c>
      <c r="E9" s="172"/>
      <c r="F9" s="172" t="s">
        <v>5</v>
      </c>
      <c r="G9" s="174" t="s">
        <v>6</v>
      </c>
    </row>
    <row r="10" spans="1:9" ht="13.5" thickBot="1">
      <c r="A10" s="175"/>
      <c r="B10" s="185"/>
      <c r="C10" s="185"/>
      <c r="D10" s="187"/>
      <c r="E10" s="173"/>
      <c r="F10" s="173"/>
      <c r="G10" s="175"/>
    </row>
    <row r="11" spans="1:9" ht="14.25">
      <c r="A11" s="54"/>
      <c r="B11" s="55"/>
      <c r="C11" s="56"/>
      <c r="D11" s="57"/>
      <c r="E11" s="55"/>
      <c r="F11" s="58"/>
      <c r="G11" s="59"/>
      <c r="H11" s="5"/>
    </row>
    <row r="12" spans="1:9" ht="15">
      <c r="A12" s="26">
        <v>1</v>
      </c>
      <c r="B12" s="27" t="s">
        <v>26</v>
      </c>
      <c r="C12" s="42"/>
      <c r="D12" s="28">
        <v>5</v>
      </c>
      <c r="E12" s="28"/>
      <c r="F12" s="30">
        <v>1</v>
      </c>
      <c r="G12" s="33">
        <f>D12*F12</f>
        <v>5</v>
      </c>
      <c r="H12" s="8"/>
    </row>
    <row r="13" spans="1:9" ht="15">
      <c r="A13" s="26">
        <v>2</v>
      </c>
      <c r="B13" s="27" t="s">
        <v>27</v>
      </c>
      <c r="C13" s="42"/>
      <c r="D13" s="28">
        <v>5</v>
      </c>
      <c r="E13" s="28"/>
      <c r="F13" s="30">
        <v>5</v>
      </c>
      <c r="G13" s="33">
        <f t="shared" ref="G13:G29" si="0">D13*F13</f>
        <v>25</v>
      </c>
      <c r="H13" s="8"/>
    </row>
    <row r="14" spans="1:9" ht="15">
      <c r="A14" s="26">
        <v>3</v>
      </c>
      <c r="B14" s="27" t="s">
        <v>28</v>
      </c>
      <c r="C14" s="42"/>
      <c r="D14" s="28">
        <v>565</v>
      </c>
      <c r="E14" s="28"/>
      <c r="F14" s="30">
        <v>120</v>
      </c>
      <c r="G14" s="33">
        <f t="shared" si="0"/>
        <v>67800</v>
      </c>
      <c r="H14" s="8"/>
    </row>
    <row r="15" spans="1:9" ht="15">
      <c r="A15" s="26">
        <v>4</v>
      </c>
      <c r="B15" s="27" t="s">
        <v>29</v>
      </c>
      <c r="C15" s="42"/>
      <c r="D15" s="28"/>
      <c r="E15" s="28"/>
      <c r="F15" s="30"/>
      <c r="G15" s="33">
        <f t="shared" si="0"/>
        <v>0</v>
      </c>
      <c r="H15" s="8"/>
    </row>
    <row r="16" spans="1:9" ht="15">
      <c r="A16" s="26" t="str">
        <f t="shared" ref="A16:A30" si="1">IF(COUNTA(B16)&gt;0,A15+1,"")</f>
        <v/>
      </c>
      <c r="B16" s="27"/>
      <c r="C16" s="42"/>
      <c r="D16" s="28"/>
      <c r="E16" s="28"/>
      <c r="F16" s="30"/>
      <c r="G16" s="33">
        <f t="shared" si="0"/>
        <v>0</v>
      </c>
      <c r="H16" s="8"/>
    </row>
    <row r="17" spans="1:8">
      <c r="A17" s="26" t="str">
        <f t="shared" si="1"/>
        <v/>
      </c>
      <c r="B17" s="27"/>
      <c r="C17" s="43"/>
      <c r="D17" s="27"/>
      <c r="E17" s="27"/>
      <c r="F17" s="31"/>
      <c r="G17" s="33">
        <f t="shared" si="0"/>
        <v>0</v>
      </c>
      <c r="H17" s="8"/>
    </row>
    <row r="18" spans="1:8">
      <c r="A18" s="26" t="str">
        <f t="shared" si="1"/>
        <v/>
      </c>
      <c r="B18" s="27"/>
      <c r="C18" s="43"/>
      <c r="D18" s="27"/>
      <c r="E18" s="27"/>
      <c r="F18" s="31"/>
      <c r="G18" s="33">
        <f t="shared" si="0"/>
        <v>0</v>
      </c>
      <c r="H18" s="8"/>
    </row>
    <row r="19" spans="1:8">
      <c r="A19" s="26" t="str">
        <f t="shared" si="1"/>
        <v/>
      </c>
      <c r="B19" s="27"/>
      <c r="C19" s="43"/>
      <c r="D19" s="27"/>
      <c r="E19" s="27"/>
      <c r="F19" s="31"/>
      <c r="G19" s="33">
        <f t="shared" si="0"/>
        <v>0</v>
      </c>
      <c r="H19" s="8"/>
    </row>
    <row r="20" spans="1:8">
      <c r="A20" s="26" t="str">
        <f t="shared" si="1"/>
        <v/>
      </c>
      <c r="B20" s="27"/>
      <c r="C20" s="43"/>
      <c r="D20" s="27"/>
      <c r="E20" s="27"/>
      <c r="F20" s="31"/>
      <c r="G20" s="33">
        <f t="shared" si="0"/>
        <v>0</v>
      </c>
      <c r="H20" s="8"/>
    </row>
    <row r="21" spans="1:8">
      <c r="A21" s="26" t="str">
        <f t="shared" si="1"/>
        <v/>
      </c>
      <c r="B21" s="27"/>
      <c r="C21" s="43"/>
      <c r="D21" s="27"/>
      <c r="E21" s="27"/>
      <c r="F21" s="31"/>
      <c r="G21" s="33">
        <f t="shared" si="0"/>
        <v>0</v>
      </c>
      <c r="H21" s="8"/>
    </row>
    <row r="22" spans="1:8">
      <c r="A22" s="26" t="str">
        <f t="shared" si="1"/>
        <v/>
      </c>
      <c r="B22" s="27"/>
      <c r="C22" s="43"/>
      <c r="D22" s="27"/>
      <c r="E22" s="27"/>
      <c r="F22" s="31"/>
      <c r="G22" s="33">
        <f t="shared" si="0"/>
        <v>0</v>
      </c>
      <c r="H22" s="8"/>
    </row>
    <row r="23" spans="1:8">
      <c r="A23" s="26" t="str">
        <f t="shared" si="1"/>
        <v/>
      </c>
      <c r="B23" s="27"/>
      <c r="C23" s="43"/>
      <c r="D23" s="27"/>
      <c r="E23" s="27"/>
      <c r="F23" s="31"/>
      <c r="G23" s="33">
        <f t="shared" si="0"/>
        <v>0</v>
      </c>
      <c r="H23" s="8"/>
    </row>
    <row r="24" spans="1:8">
      <c r="A24" s="26" t="str">
        <f t="shared" si="1"/>
        <v/>
      </c>
      <c r="B24" s="27"/>
      <c r="C24" s="43"/>
      <c r="D24" s="27"/>
      <c r="E24" s="27"/>
      <c r="F24" s="31"/>
      <c r="G24" s="33">
        <f t="shared" si="0"/>
        <v>0</v>
      </c>
      <c r="H24" s="8"/>
    </row>
    <row r="25" spans="1:8">
      <c r="A25" s="26" t="str">
        <f t="shared" si="1"/>
        <v/>
      </c>
      <c r="B25" s="27"/>
      <c r="C25" s="43"/>
      <c r="D25" s="27"/>
      <c r="E25" s="27"/>
      <c r="F25" s="31"/>
      <c r="G25" s="33">
        <f t="shared" si="0"/>
        <v>0</v>
      </c>
      <c r="H25" s="8"/>
    </row>
    <row r="26" spans="1:8">
      <c r="A26" s="26" t="str">
        <f t="shared" si="1"/>
        <v/>
      </c>
      <c r="B26" s="27"/>
      <c r="C26" s="43"/>
      <c r="D26" s="27"/>
      <c r="E26" s="27"/>
      <c r="F26" s="31"/>
      <c r="G26" s="33">
        <f t="shared" si="0"/>
        <v>0</v>
      </c>
      <c r="H26" s="8"/>
    </row>
    <row r="27" spans="1:8">
      <c r="A27" s="26" t="str">
        <f t="shared" si="1"/>
        <v/>
      </c>
      <c r="B27" s="27"/>
      <c r="C27" s="43"/>
      <c r="D27" s="27"/>
      <c r="E27" s="27"/>
      <c r="F27" s="31"/>
      <c r="G27" s="33">
        <f t="shared" si="0"/>
        <v>0</v>
      </c>
      <c r="H27" s="8"/>
    </row>
    <row r="28" spans="1:8">
      <c r="A28" s="26" t="str">
        <f t="shared" si="1"/>
        <v/>
      </c>
      <c r="B28" s="27"/>
      <c r="C28" s="43"/>
      <c r="D28" s="27"/>
      <c r="E28" s="27"/>
      <c r="F28" s="30"/>
      <c r="G28" s="33">
        <f t="shared" si="0"/>
        <v>0</v>
      </c>
      <c r="H28" s="8"/>
    </row>
    <row r="29" spans="1:8">
      <c r="A29" s="26" t="str">
        <f t="shared" si="1"/>
        <v/>
      </c>
      <c r="B29" s="29"/>
      <c r="C29" s="44"/>
      <c r="D29" s="29"/>
      <c r="E29" s="29"/>
      <c r="F29" s="32"/>
      <c r="G29" s="33">
        <f t="shared" si="0"/>
        <v>0</v>
      </c>
      <c r="H29" s="9"/>
    </row>
    <row r="30" spans="1:8" ht="13.5" thickBot="1">
      <c r="A30" s="45" t="str">
        <f t="shared" si="1"/>
        <v/>
      </c>
      <c r="B30" s="46"/>
      <c r="C30" s="47"/>
      <c r="D30" s="46"/>
      <c r="E30" s="46"/>
      <c r="F30" s="48"/>
      <c r="G30" s="49" t="str">
        <f t="shared" ref="G30" si="2">IF((D30*F30)=0,"",PRODUCT(F30,D30))</f>
        <v/>
      </c>
    </row>
    <row r="31" spans="1:8" ht="13.5" customHeight="1" thickBot="1">
      <c r="A31" s="176" t="s">
        <v>15</v>
      </c>
      <c r="B31" s="177"/>
      <c r="C31" s="50"/>
      <c r="D31" s="51"/>
      <c r="E31" s="51"/>
      <c r="F31" s="52"/>
      <c r="G31" s="53">
        <f>SUM(G11:G30)</f>
        <v>67830</v>
      </c>
    </row>
    <row r="32" spans="1:8" ht="13.5" hidden="1" customHeight="1">
      <c r="F32"/>
      <c r="G32"/>
    </row>
    <row r="33" spans="1:7" hidden="1">
      <c r="F33"/>
      <c r="G33"/>
    </row>
    <row r="34" spans="1:7" hidden="1">
      <c r="F34"/>
      <c r="G34"/>
    </row>
    <row r="35" spans="1:7" hidden="1">
      <c r="F35"/>
      <c r="G35"/>
    </row>
    <row r="36" spans="1:7" hidden="1">
      <c r="F36"/>
      <c r="G36"/>
    </row>
    <row r="37" spans="1:7" ht="13.5" hidden="1" thickBot="1">
      <c r="F37"/>
      <c r="G37"/>
    </row>
    <row r="38" spans="1:7">
      <c r="A38" s="122" t="s">
        <v>7</v>
      </c>
      <c r="B38" s="94"/>
      <c r="C38" s="36"/>
      <c r="D38" s="36"/>
      <c r="E38" s="36"/>
      <c r="F38" s="37"/>
      <c r="G38" s="10"/>
    </row>
    <row r="39" spans="1:7">
      <c r="A39" s="165" t="str">
        <f>PROPER(NumToWord(G31))</f>
        <v>Sixty-Seven Thousand Eight Hundred Thirty</v>
      </c>
      <c r="B39" s="166"/>
      <c r="C39" s="166"/>
      <c r="D39" s="166"/>
      <c r="E39" s="166"/>
      <c r="F39" s="118"/>
      <c r="G39" s="119"/>
    </row>
    <row r="40" spans="1:7">
      <c r="A40" s="22"/>
      <c r="B40" s="38"/>
      <c r="C40" s="38"/>
      <c r="D40" s="38"/>
      <c r="E40" s="38"/>
      <c r="F40" s="39"/>
      <c r="G40" s="23"/>
    </row>
    <row r="41" spans="1:7" ht="13.5" thickBot="1">
      <c r="A41" s="159" t="s">
        <v>21</v>
      </c>
      <c r="B41" s="160"/>
      <c r="C41" s="40"/>
      <c r="D41" s="40"/>
      <c r="E41" s="40"/>
      <c r="F41" s="94"/>
      <c r="G41" s="95"/>
    </row>
    <row r="42" spans="1:7" ht="13.5" customHeight="1">
      <c r="A42" s="157" t="s">
        <v>32</v>
      </c>
      <c r="B42" s="158"/>
      <c r="C42" s="40"/>
      <c r="D42" s="40"/>
      <c r="E42" s="40"/>
      <c r="F42" s="118" t="s">
        <v>10</v>
      </c>
      <c r="G42" s="167"/>
    </row>
    <row r="43" spans="1:7" ht="13.5" customHeight="1">
      <c r="A43" s="24" t="s">
        <v>33</v>
      </c>
      <c r="B43" s="25"/>
      <c r="C43" s="40"/>
      <c r="D43" s="40"/>
      <c r="E43" s="40"/>
      <c r="F43" s="118"/>
      <c r="G43" s="167"/>
    </row>
    <row r="44" spans="1:7" ht="13.5" customHeight="1">
      <c r="A44" s="161" t="s">
        <v>31</v>
      </c>
      <c r="B44" s="162"/>
      <c r="C44" s="40"/>
      <c r="D44" s="40"/>
      <c r="E44" s="40"/>
      <c r="F44" s="118"/>
      <c r="G44" s="167"/>
    </row>
    <row r="45" spans="1:7" ht="13.5" customHeight="1">
      <c r="A45" s="161" t="s">
        <v>23</v>
      </c>
      <c r="B45" s="162"/>
      <c r="C45" s="40"/>
      <c r="D45" s="40"/>
      <c r="E45" s="40"/>
      <c r="F45" s="118"/>
      <c r="G45" s="167"/>
    </row>
    <row r="46" spans="1:7" ht="13.5" customHeight="1" thickBot="1">
      <c r="A46" s="163" t="s">
        <v>24</v>
      </c>
      <c r="B46" s="164"/>
      <c r="C46" s="40"/>
      <c r="D46" s="40"/>
      <c r="E46" s="40"/>
      <c r="F46" s="118"/>
      <c r="G46" s="167"/>
    </row>
    <row r="47" spans="1:7" ht="12.75" customHeight="1">
      <c r="A47" s="168" t="s">
        <v>25</v>
      </c>
      <c r="B47" s="169"/>
      <c r="C47" s="41"/>
      <c r="D47" s="41"/>
      <c r="E47" s="41"/>
      <c r="F47" s="118"/>
      <c r="G47" s="167"/>
    </row>
    <row r="48" spans="1:7" ht="13.5" thickBot="1">
      <c r="A48" s="170"/>
      <c r="B48" s="171"/>
      <c r="C48" s="41"/>
      <c r="D48" s="41"/>
      <c r="E48" s="41"/>
      <c r="F48" s="118"/>
      <c r="G48" s="167"/>
    </row>
    <row r="49" spans="1:7" ht="13.5" thickBot="1">
      <c r="A49" s="15"/>
      <c r="B49" s="16"/>
      <c r="C49" s="16"/>
      <c r="D49" s="16"/>
      <c r="E49" s="16"/>
      <c r="F49" s="17"/>
      <c r="G49" s="18"/>
    </row>
  </sheetData>
  <mergeCells count="33">
    <mergeCell ref="A1:G1"/>
    <mergeCell ref="A2:G2"/>
    <mergeCell ref="A3:G3"/>
    <mergeCell ref="A5:B5"/>
    <mergeCell ref="C5:E5"/>
    <mergeCell ref="F5:F6"/>
    <mergeCell ref="G5:G6"/>
    <mergeCell ref="A6:B6"/>
    <mergeCell ref="C6:E6"/>
    <mergeCell ref="F9:F10"/>
    <mergeCell ref="G9:G10"/>
    <mergeCell ref="A31:B31"/>
    <mergeCell ref="A38:B38"/>
    <mergeCell ref="A7:B7"/>
    <mergeCell ref="C7:E8"/>
    <mergeCell ref="F7:F8"/>
    <mergeCell ref="G7:G8"/>
    <mergeCell ref="A8:B8"/>
    <mergeCell ref="A9:A10"/>
    <mergeCell ref="B9:B10"/>
    <mergeCell ref="C9:C10"/>
    <mergeCell ref="D9:D10"/>
    <mergeCell ref="E9:E10"/>
    <mergeCell ref="A39:E39"/>
    <mergeCell ref="F39:G39"/>
    <mergeCell ref="A41:B41"/>
    <mergeCell ref="F41:G41"/>
    <mergeCell ref="A42:B42"/>
    <mergeCell ref="F42:G48"/>
    <mergeCell ref="A44:B44"/>
    <mergeCell ref="A45:B45"/>
    <mergeCell ref="A46:B46"/>
    <mergeCell ref="A47:B48"/>
  </mergeCells>
  <printOptions horizontalCentered="1" verticalCentered="1"/>
  <pageMargins left="0.2" right="0.2" top="0.5" bottom="0.5" header="0.31" footer="0.17"/>
  <pageSetup paperSize="9" scale="96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GST TAX INVOICE</vt:lpstr>
      <vt:lpstr>NON GST TAX INVOICE </vt:lpstr>
      <vt:lpstr>'GST TAX INVOICE'!Print_Area</vt:lpstr>
      <vt:lpstr>'NON GST TAX INVOICE 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msa</dc:creator>
  <cp:lastModifiedBy>BADA XEROX</cp:lastModifiedBy>
  <cp:lastPrinted>2025-01-10T09:51:22Z</cp:lastPrinted>
  <dcterms:created xsi:type="dcterms:W3CDTF">2017-05-06T03:15:21Z</dcterms:created>
  <dcterms:modified xsi:type="dcterms:W3CDTF">2025-01-10T09:54:58Z</dcterms:modified>
</cp:coreProperties>
</file>